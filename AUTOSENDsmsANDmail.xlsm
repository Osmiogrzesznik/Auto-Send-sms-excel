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les\OneDrive\Desktop\MOJE_PROJEKTY\try-catch-finally.com\non-web\Auto-Send-vba-excel-android-sms\"/>
    </mc:Choice>
  </mc:AlternateContent>
  <xr:revisionPtr revIDLastSave="0" documentId="13_ncr:1_{E0447C49-0E97-4CDF-9F04-CC6E7FEDB4DE}" xr6:coauthVersionLast="45" xr6:coauthVersionMax="45" xr10:uidLastSave="{00000000-0000-0000-0000-000000000000}"/>
  <bookViews>
    <workbookView xWindow="-120" yWindow="-120" windowWidth="29040" windowHeight="15990" tabRatio="570" xr2:uid="{00000000-000D-0000-FFFF-FFFF00000000}"/>
  </bookViews>
  <sheets>
    <sheet name="students" sheetId="5" r:id="rId1"/>
    <sheet name="AutoSend_Settings" sheetId="7" r:id="rId2"/>
    <sheet name="ASrprt_07Aug18sheet5" sheetId="60" r:id="rId3"/>
    <sheet name="ASrprt_12Mar20sheet3" sheetId="65" r:id="rId4"/>
    <sheet name="ASrprt_12Mar20sheet4" sheetId="66" r:id="rId5"/>
    <sheet name="ASrprt_12Mar20sheet5" sheetId="67" r:id="rId6"/>
    <sheet name="ASrprt_12Mar20sheet6" sheetId="68" r:id="rId7"/>
    <sheet name="ASrprt_12Mar20sheet7" sheetId="69" r:id="rId8"/>
    <sheet name="ASrprt_12Mar20sheet8" sheetId="70" r:id="rId9"/>
  </sheets>
  <functionGroups builtInGroupCount="19"/>
  <definedNames>
    <definedName name="dozw">#REF!</definedName>
    <definedName name="dozwolone">students!#REF!</definedName>
    <definedName name="list_titles">#REF!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7" l="1"/>
  <c r="A4" i="7" l="1"/>
</calcChain>
</file>

<file path=xl/sharedStrings.xml><?xml version="1.0" encoding="utf-8"?>
<sst xmlns="http://schemas.openxmlformats.org/spreadsheetml/2006/main" count="341" uniqueCount="219">
  <si>
    <t>ST Num</t>
  </si>
  <si>
    <t>First Name</t>
  </si>
  <si>
    <t>Surname</t>
  </si>
  <si>
    <t>DOB</t>
  </si>
  <si>
    <t>Tel</t>
  </si>
  <si>
    <t>Email</t>
  </si>
  <si>
    <t>POST CODE</t>
  </si>
  <si>
    <t>Level</t>
  </si>
  <si>
    <t>Last Payment</t>
  </si>
  <si>
    <t>Next invoice</t>
  </si>
  <si>
    <t>Progression</t>
  </si>
  <si>
    <t>Natalia</t>
  </si>
  <si>
    <t>Pola</t>
  </si>
  <si>
    <t>Klara</t>
  </si>
  <si>
    <t>Karolina</t>
  </si>
  <si>
    <t>Tymoteusz</t>
  </si>
  <si>
    <t>Alan</t>
  </si>
  <si>
    <t>Nela</t>
  </si>
  <si>
    <t>Aniela</t>
  </si>
  <si>
    <t>Marcin</t>
  </si>
  <si>
    <t>Nikodem</t>
  </si>
  <si>
    <t>Genowefa</t>
  </si>
  <si>
    <t>Joanna</t>
  </si>
  <si>
    <t>Julia</t>
  </si>
  <si>
    <t>Maja</t>
  </si>
  <si>
    <t>Szymon</t>
  </si>
  <si>
    <t>Zenon</t>
  </si>
  <si>
    <t>Rita</t>
  </si>
  <si>
    <t>Franciszek</t>
  </si>
  <si>
    <t>Denis</t>
  </si>
  <si>
    <t>Łucjusz</t>
  </si>
  <si>
    <t>Dolores</t>
  </si>
  <si>
    <t>Natan</t>
  </si>
  <si>
    <t>Elena</t>
  </si>
  <si>
    <t>Emilia</t>
  </si>
  <si>
    <t>Zajcher</t>
  </si>
  <si>
    <t>Ałykow</t>
  </si>
  <si>
    <t>Micek</t>
  </si>
  <si>
    <t>Bartos</t>
  </si>
  <si>
    <t>Samborski</t>
  </si>
  <si>
    <t>Trebus</t>
  </si>
  <si>
    <t>Pojasek</t>
  </si>
  <si>
    <t>Nazaruk</t>
  </si>
  <si>
    <t>Gos</t>
  </si>
  <si>
    <t>Schetyna</t>
  </si>
  <si>
    <t>Bodurka</t>
  </si>
  <si>
    <t>Bogusz</t>
  </si>
  <si>
    <t>Boguszewski</t>
  </si>
  <si>
    <t>Bohosiewicz</t>
  </si>
  <si>
    <t>Bończak</t>
  </si>
  <si>
    <t>Borawski</t>
  </si>
  <si>
    <t>Borowski</t>
  </si>
  <si>
    <t>Boruc</t>
  </si>
  <si>
    <t>Borys</t>
  </si>
  <si>
    <t>Breza</t>
  </si>
  <si>
    <t>Brodowicz</t>
  </si>
  <si>
    <t>Bojanowska</t>
  </si>
  <si>
    <t>Boguska</t>
  </si>
  <si>
    <t>Błażowska</t>
  </si>
  <si>
    <t>natalia.zajcher@example.com</t>
  </si>
  <si>
    <t>pola.ałykow@example.com</t>
  </si>
  <si>
    <t>klara.micek@example.com</t>
  </si>
  <si>
    <t>karolina.bartos@example.com</t>
  </si>
  <si>
    <t>tymoteusz.samborski@example.com</t>
  </si>
  <si>
    <t>alan.trebus@example.com</t>
  </si>
  <si>
    <t>nela.pojasek@example.com</t>
  </si>
  <si>
    <t>aniela.nazaruk@example.com</t>
  </si>
  <si>
    <t>marcin.gos@example.com</t>
  </si>
  <si>
    <t>nikodem.schetyna@example.com</t>
  </si>
  <si>
    <t>genowefa.błażowska@example.com</t>
  </si>
  <si>
    <t>joanna.bodurka@example.com</t>
  </si>
  <si>
    <t>julia.boguska@example.com</t>
  </si>
  <si>
    <t>maja.bogusz@example.com</t>
  </si>
  <si>
    <t>szymon.boguszewski@example.com</t>
  </si>
  <si>
    <t>zenon.bohosiewicz@example.com</t>
  </si>
  <si>
    <t>rita.bojanowska@example.com</t>
  </si>
  <si>
    <t>franciszek.bończak@example.com</t>
  </si>
  <si>
    <t>denis.borawski@example.com</t>
  </si>
  <si>
    <t>łucjusz.borowski@example.com</t>
  </si>
  <si>
    <t>dolores.boruc@example.com</t>
  </si>
  <si>
    <t>natan.borys@example.com</t>
  </si>
  <si>
    <t>elena.breza@example.com</t>
  </si>
  <si>
    <t>emilia.brodowicz@example.com</t>
  </si>
  <si>
    <t>Upper Intermediate MS</t>
  </si>
  <si>
    <t>paid</t>
  </si>
  <si>
    <t>some notes</t>
  </si>
  <si>
    <t>ST00291</t>
  </si>
  <si>
    <t>ST00293</t>
  </si>
  <si>
    <t>ST00292</t>
  </si>
  <si>
    <t>ST00294</t>
  </si>
  <si>
    <t>ST00295</t>
  </si>
  <si>
    <t>ST00296</t>
  </si>
  <si>
    <t>ST00297</t>
  </si>
  <si>
    <t>ST00298</t>
  </si>
  <si>
    <t>ST00299</t>
  </si>
  <si>
    <t>ST00300</t>
  </si>
  <si>
    <t>ST00301</t>
  </si>
  <si>
    <t>ST00302</t>
  </si>
  <si>
    <t>ST00303</t>
  </si>
  <si>
    <t>ST00304</t>
  </si>
  <si>
    <t>ST00305</t>
  </si>
  <si>
    <t>ST00306</t>
  </si>
  <si>
    <t>ST00307</t>
  </si>
  <si>
    <t>ST00308</t>
  </si>
  <si>
    <t>ST00309</t>
  </si>
  <si>
    <t>ST00310</t>
  </si>
  <si>
    <t>ST00311</t>
  </si>
  <si>
    <t>ST00312</t>
  </si>
  <si>
    <t>ST00313</t>
  </si>
  <si>
    <t>ST00314</t>
  </si>
  <si>
    <t>template.name</t>
  </si>
  <si>
    <t>template.path</t>
  </si>
  <si>
    <t>CONTACT US.docx</t>
  </si>
  <si>
    <t>np. &lt;&lt;imie&gt;&gt;</t>
  </si>
  <si>
    <t>Replace with column</t>
  </si>
  <si>
    <t>Tag To Replace</t>
  </si>
  <si>
    <t>np. B</t>
  </si>
  <si>
    <t>AutoSend</t>
  </si>
  <si>
    <t>B</t>
  </si>
  <si>
    <t>C</t>
  </si>
  <si>
    <t>J</t>
  </si>
  <si>
    <t>students</t>
  </si>
  <si>
    <t>Email column</t>
  </si>
  <si>
    <t>F</t>
  </si>
  <si>
    <t>&lt;&lt;level&gt;&gt;</t>
  </si>
  <si>
    <t>H</t>
  </si>
  <si>
    <t>#J#&lt;(TODAY()+14)</t>
  </si>
  <si>
    <t>pseudo formula</t>
  </si>
  <si>
    <t>#H#="Intermediate"</t>
  </si>
  <si>
    <t>H,D</t>
  </si>
  <si>
    <t>AND(YEAR(#D#)=1986,#H#="beginner")</t>
  </si>
  <si>
    <t xml:space="preserve">wszystkie warunki z TRUE sa brane pod uwagę. </t>
  </si>
  <si>
    <t xml:space="preserve">krotki opis </t>
  </si>
  <si>
    <t>test</t>
  </si>
  <si>
    <t>M</t>
  </si>
  <si>
    <t>test2</t>
  </si>
  <si>
    <t>N</t>
  </si>
  <si>
    <t>#M#&lt;4</t>
  </si>
  <si>
    <t>#N#&lt;4</t>
  </si>
  <si>
    <t>telephone column</t>
  </si>
  <si>
    <t>G</t>
  </si>
  <si>
    <t>SMS</t>
  </si>
  <si>
    <t>Ą</t>
  </si>
  <si>
    <t>Ć</t>
  </si>
  <si>
    <t>Ę</t>
  </si>
  <si>
    <t>Ł</t>
  </si>
  <si>
    <t>Ń</t>
  </si>
  <si>
    <t>Ó</t>
  </si>
  <si>
    <t>Ś</t>
  </si>
  <si>
    <t>Ź</t>
  </si>
  <si>
    <t>Ż</t>
  </si>
  <si>
    <t>ą</t>
  </si>
  <si>
    <t>ć</t>
  </si>
  <si>
    <t>ę</t>
  </si>
  <si>
    <t>ł</t>
  </si>
  <si>
    <t>ń</t>
  </si>
  <si>
    <t>ó</t>
  </si>
  <si>
    <t>ś</t>
  </si>
  <si>
    <t>ź</t>
  </si>
  <si>
    <t>ż</t>
  </si>
  <si>
    <t>POLSKI ZNAK</t>
  </si>
  <si>
    <t>KODOWANIE</t>
  </si>
  <si>
    <t>Upper Intermediate MMS</t>
  </si>
  <si>
    <t>Upper Intermediate BL</t>
  </si>
  <si>
    <t>07954013873</t>
  </si>
  <si>
    <t>AUTOSENDsmsANDmail.xlsm</t>
  </si>
  <si>
    <t>1.wszystkie(AND)</t>
  </si>
  <si>
    <t>74764765</t>
  </si>
  <si>
    <t>contact mode</t>
  </si>
  <si>
    <t>condition</t>
  </si>
  <si>
    <t>Write your files in word - these are message templates. Should contain  tags "&lt;&lt;example&gt;&gt;" , which wil be replaced by actual data</t>
  </si>
  <si>
    <t>Templates</t>
  </si>
  <si>
    <t>Tags</t>
  </si>
  <si>
    <t>&lt;&lt;name&gt;&gt;</t>
  </si>
  <si>
    <t>&lt;&lt;surname&gt;&gt;</t>
  </si>
  <si>
    <t>&lt;&lt;date&gt;&gt;</t>
  </si>
  <si>
    <t>Enabled</t>
  </si>
  <si>
    <t>description</t>
  </si>
  <si>
    <t>columns</t>
  </si>
  <si>
    <t>write your own logic for conditions</t>
  </si>
  <si>
    <t>less than two weeks remaining</t>
  </si>
  <si>
    <t>everybody</t>
  </si>
  <si>
    <t>Custom Conditions</t>
  </si>
  <si>
    <t>only intermediate levels</t>
  </si>
  <si>
    <t xml:space="preserve"> born '86 and beginner level</t>
  </si>
  <si>
    <t>Email title</t>
  </si>
  <si>
    <t>Selected template</t>
  </si>
  <si>
    <t>Worksheet file with contact details (default - this)</t>
  </si>
  <si>
    <t>Sheet Name</t>
  </si>
  <si>
    <t>SMS body (max 160 chars)</t>
  </si>
  <si>
    <t>IP address of android phone with ASMS App, port (both visible after pressing "Serve" button in app)</t>
  </si>
  <si>
    <t>Conditions, if met causing to send email to that contact:
 1.all- wszyskie(AND),    
 2. at least one -przynajmniej jeden(OR)</t>
  </si>
  <si>
    <t>CT1</t>
  </si>
  <si>
    <t>CT2</t>
  </si>
  <si>
    <t>CT3</t>
  </si>
  <si>
    <t>CT4</t>
  </si>
  <si>
    <t>CT5</t>
  </si>
  <si>
    <t>CT6</t>
  </si>
  <si>
    <t>CT7</t>
  </si>
  <si>
    <t>CT8</t>
  </si>
  <si>
    <t>CT9</t>
  </si>
  <si>
    <t>CT10</t>
  </si>
  <si>
    <t>CT11 1AA</t>
  </si>
  <si>
    <t>CT12</t>
  </si>
  <si>
    <t>CT13</t>
  </si>
  <si>
    <t>CT14</t>
  </si>
  <si>
    <t>CT15</t>
  </si>
  <si>
    <t>CT16</t>
  </si>
  <si>
    <t>CT17</t>
  </si>
  <si>
    <t>CT18</t>
  </si>
  <si>
    <t>CT19</t>
  </si>
  <si>
    <t>CT20</t>
  </si>
  <si>
    <t>CT21</t>
  </si>
  <si>
    <t>CT22</t>
  </si>
  <si>
    <t>CT23</t>
  </si>
  <si>
    <t>CT24</t>
  </si>
  <si>
    <t>EMAIL</t>
  </si>
  <si>
    <t>07928384721</t>
  </si>
  <si>
    <t>C:\Users\ABSOLUTEPATH\CONTACT US.docx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</si>
</sst>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22"/>
      <color rgb="FF000000"/>
      <name val="Calibri"/>
      <family val="2"/>
    </font>
    <font>
      <sz val="18"/>
      <color theme="8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</borders>
  <cellStyleXfs count="6">
    <xf numFmtId="0" fontId="0" fillId="0" borderId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4" fillId="3" borderId="0"/>
    <xf numFmtId="0" fontId="8" fillId="7" borderId="1" applyNumberFormat="0" applyAlignment="0" applyProtection="0"/>
  </cellStyleXfs>
  <cellXfs count="31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4" borderId="0" xfId="2"/>
    <xf numFmtId="0" fontId="2" fillId="5" borderId="0" xfId="3"/>
    <xf numFmtId="0" fontId="3" fillId="3" borderId="0" xfId="1"/>
    <xf numFmtId="0" fontId="5" fillId="6" borderId="0" xfId="4" applyFont="1" applyFill="1" applyAlignment="1">
      <alignment vertical="center"/>
    </xf>
    <xf numFmtId="0" fontId="3" fillId="3" borderId="0" xfId="1" applyAlignment="1">
      <alignment vertical="center"/>
    </xf>
    <xf numFmtId="0" fontId="3" fillId="3" borderId="0" xfId="1" applyAlignment="1">
      <alignment wrapText="1"/>
    </xf>
    <xf numFmtId="0" fontId="7" fillId="3" borderId="0" xfId="1" applyFont="1" applyAlignment="1">
      <alignment horizontal="center"/>
    </xf>
    <xf numFmtId="0" fontId="0" fillId="4" borderId="0" xfId="2" applyFont="1"/>
    <xf numFmtId="0" fontId="0" fillId="5" borderId="0" xfId="3" applyFont="1"/>
    <xf numFmtId="0" fontId="3" fillId="3" borderId="0" xfId="1" quotePrefix="1" applyAlignment="1" applyProtection="1">
      <alignment vertical="center"/>
      <protection hidden="1"/>
    </xf>
    <xf numFmtId="0" fontId="4" fillId="3" borderId="0" xfId="4"/>
    <xf numFmtId="0" fontId="8" fillId="7" borderId="1" xfId="5"/>
    <xf numFmtId="0" fontId="8" fillId="7" borderId="2" xfId="5" applyBorder="1"/>
    <xf numFmtId="0" fontId="3" fillId="3" borderId="0" xfId="1" applyAlignment="1">
      <alignment vertical="top"/>
    </xf>
    <xf numFmtId="0" fontId="3" fillId="3" borderId="0" xfId="1" applyAlignment="1">
      <alignment vertical="top" wrapText="1"/>
    </xf>
    <xf numFmtId="0" fontId="0" fillId="8" borderId="0" xfId="0" applyFill="1"/>
    <xf numFmtId="0" fontId="0" fillId="9" borderId="3" xfId="0" applyFont="1" applyFill="1" applyBorder="1"/>
    <xf numFmtId="0" fontId="0" fillId="9" borderId="4" xfId="0" applyFont="1" applyFill="1" applyBorder="1"/>
    <xf numFmtId="14" fontId="0" fillId="9" borderId="4" xfId="0" applyNumberFormat="1" applyFont="1" applyFill="1" applyBorder="1"/>
    <xf numFmtId="49" fontId="1" fillId="0" borderId="0" xfId="0" applyNumberFormat="1" applyFont="1"/>
    <xf numFmtId="49" fontId="0" fillId="0" borderId="0" xfId="0" applyNumberFormat="1"/>
    <xf numFmtId="49" fontId="0" fillId="9" borderId="4" xfId="0" applyNumberFormat="1" applyFont="1" applyFill="1" applyBorder="1"/>
    <xf numFmtId="14" fontId="0" fillId="0" borderId="4" xfId="0" applyNumberFormat="1" applyFont="1" applyBorder="1"/>
    <xf numFmtId="0" fontId="0" fillId="0" borderId="4" xfId="0" applyFont="1" applyBorder="1"/>
    <xf numFmtId="49" fontId="0" fillId="0" borderId="4" xfId="0" applyNumberFormat="1" applyFont="1" applyBorder="1"/>
    <xf numFmtId="0" fontId="0" fillId="0" borderId="3" xfId="0" applyFont="1" applyBorder="1"/>
    <xf numFmtId="0" fontId="8" fillId="7" borderId="1" xfId="5" applyFont="1" applyFill="1" applyBorder="1"/>
  </cellXfs>
  <cellStyles count="6">
    <cellStyle name="20% - Accent1" xfId="2" builtinId="30"/>
    <cellStyle name="40% - Accent1" xfId="3" builtinId="31"/>
    <cellStyle name="Accent1" xfId="1" builtinId="29"/>
    <cellStyle name="Check Cell" xfId="5" builtinId="23"/>
    <cellStyle name="Nice Title" xfId="4" xr:uid="{00000000-0005-0000-0000-000004000000}"/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0" tint="-0.34998626667073579"/>
      </font>
      <fill>
        <patternFill>
          <bgColor theme="0" tint="-4.9989318521683403E-2"/>
        </patternFill>
      </fill>
      <border>
        <vertical/>
        <horizontal/>
      </border>
    </dxf>
    <dxf>
      <font>
        <color theme="0" tint="-0.34998626667073579"/>
      </font>
      <fill>
        <patternFill>
          <bgColor theme="0" tint="-4.9989318521683403E-2"/>
        </patternFill>
      </fill>
      <border>
        <vertical/>
        <horizontal/>
      </border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4</xdr:row>
          <xdr:rowOff>85725</xdr:rowOff>
        </xdr:from>
        <xdr:to>
          <xdr:col>0</xdr:col>
          <xdr:colOff>2371725</xdr:colOff>
          <xdr:row>4</xdr:row>
          <xdr:rowOff>361950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Template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0</xdr:row>
          <xdr:rowOff>95250</xdr:rowOff>
        </xdr:from>
        <xdr:to>
          <xdr:col>4</xdr:col>
          <xdr:colOff>1162050</xdr:colOff>
          <xdr:row>0</xdr:row>
          <xdr:rowOff>352425</xdr:rowOff>
        </xdr:to>
        <xdr:sp macro="" textlink="">
          <xdr:nvSpPr>
            <xdr:cNvPr id="6149" name="SMS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3695700</xdr:colOff>
          <xdr:row>0</xdr:row>
          <xdr:rowOff>76200</xdr:rowOff>
        </xdr:from>
        <xdr:to>
          <xdr:col>1</xdr:col>
          <xdr:colOff>4724400</xdr:colOff>
          <xdr:row>0</xdr:row>
          <xdr:rowOff>371475</xdr:rowOff>
        </xdr:to>
        <xdr:sp macro="" textlink="">
          <xdr:nvSpPr>
            <xdr:cNvPr id="6150" name="EMAILbtn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1952625</xdr:colOff>
          <xdr:row>0</xdr:row>
          <xdr:rowOff>133350</xdr:rowOff>
        </xdr:from>
        <xdr:to>
          <xdr:col>9</xdr:col>
          <xdr:colOff>114300</xdr:colOff>
          <xdr:row>0</xdr:row>
          <xdr:rowOff>552450</xdr:rowOff>
        </xdr:to>
        <xdr:sp macro="" textlink="">
          <xdr:nvSpPr>
            <xdr:cNvPr id="6151" name="TestBtn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457200</xdr:rowOff>
        </xdr:from>
        <xdr:to>
          <xdr:col>1</xdr:col>
          <xdr:colOff>4695825</xdr:colOff>
          <xdr:row>0</xdr:row>
          <xdr:rowOff>742950</xdr:rowOff>
        </xdr:to>
        <xdr:sp macro="" textlink="">
          <xdr:nvSpPr>
            <xdr:cNvPr id="6152" name="TextBoxEmailSubject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847725</xdr:rowOff>
        </xdr:from>
        <xdr:to>
          <xdr:col>5</xdr:col>
          <xdr:colOff>1162050</xdr:colOff>
          <xdr:row>0</xdr:row>
          <xdr:rowOff>1133475</xdr:rowOff>
        </xdr:to>
        <xdr:sp macro="" textlink="">
          <xdr:nvSpPr>
            <xdr:cNvPr id="6154" name="TextBoxAndroidIP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1352550</xdr:colOff>
          <xdr:row>0</xdr:row>
          <xdr:rowOff>838200</xdr:rowOff>
        </xdr:from>
        <xdr:to>
          <xdr:col>5</xdr:col>
          <xdr:colOff>2019300</xdr:colOff>
          <xdr:row>0</xdr:row>
          <xdr:rowOff>1143000</xdr:rowOff>
        </xdr:to>
        <xdr:sp macro="" textlink="">
          <xdr:nvSpPr>
            <xdr:cNvPr id="6155" name="TextBoxAndroidPORT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1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409575</xdr:rowOff>
        </xdr:from>
        <xdr:to>
          <xdr:col>4</xdr:col>
          <xdr:colOff>1333500</xdr:colOff>
          <xdr:row>0</xdr:row>
          <xdr:rowOff>1428750</xdr:rowOff>
        </xdr:to>
        <xdr:sp macro="" textlink="">
          <xdr:nvSpPr>
            <xdr:cNvPr id="6158" name="TextBoxSMS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1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1238250</xdr:rowOff>
        </xdr:from>
        <xdr:to>
          <xdr:col>5</xdr:col>
          <xdr:colOff>2047875</xdr:colOff>
          <xdr:row>0</xdr:row>
          <xdr:rowOff>1581150</xdr:rowOff>
        </xdr:to>
        <xdr:sp macro="" textlink="">
          <xdr:nvSpPr>
            <xdr:cNvPr id="6159" name="btnConnTest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1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K25" totalsRowShown="0" headerRowDxfId="7" dataCellStyle="Normal">
  <autoFilter ref="A1:K25" xr:uid="{00000000-0009-0000-0100-000002000000}"/>
  <tableColumns count="11">
    <tableColumn id="1" xr3:uid="{00000000-0010-0000-0100-000001000000}" name="ST Num" dataCellStyle="Normal"/>
    <tableColumn id="2" xr3:uid="{00000000-0010-0000-0100-000002000000}" name="First Name" dataCellStyle="Normal"/>
    <tableColumn id="3" xr3:uid="{00000000-0010-0000-0100-000003000000}" name="Surname" dataCellStyle="Normal"/>
    <tableColumn id="4" xr3:uid="{00000000-0010-0000-0100-000004000000}" name="DOB" dataDxfId="6" dataCellStyle="Normal"/>
    <tableColumn id="5" xr3:uid="{00000000-0010-0000-0100-000005000000}" name="POST CODE" dataCellStyle="Normal"/>
    <tableColumn id="6" xr3:uid="{00000000-0010-0000-0100-000006000000}" name="Email" dataCellStyle="Normal"/>
    <tableColumn id="7" xr3:uid="{00000000-0010-0000-0100-000007000000}" name="Tel" dataDxfId="5" dataCellStyle="Normal"/>
    <tableColumn id="8" xr3:uid="{00000000-0010-0000-0100-000008000000}" name="Level" dataCellStyle="Normal"/>
    <tableColumn id="9" xr3:uid="{00000000-0010-0000-0100-000009000000}" name="Last Payment" dataDxfId="4" dataCellStyle="Normal"/>
    <tableColumn id="10" xr3:uid="{00000000-0010-0000-0100-00000A000000}" name="Next invoice" dataDxfId="3" dataCellStyle="Normal"/>
    <tableColumn id="11" xr3:uid="{00000000-0010-0000-0100-00000B000000}" name="Progression" dataCellStyle="Normal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AutoSendTemplates" displayName="AutoSendTemplates" comment="Pliki zawierajace tagi &lt;&lt;przyklad&gt;&gt; ktore zostana podmienione na dane z arkusza" ref="A6:B7" totalsRowShown="0">
  <autoFilter ref="A6:B7" xr:uid="{00000000-0009-0000-0100-000003000000}"/>
  <tableColumns count="2">
    <tableColumn id="1" xr3:uid="{00000000-0010-0000-0400-000001000000}" name="template.name"/>
    <tableColumn id="2" xr3:uid="{00000000-0010-0000-0400-000002000000}" name="template.path"/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gs" displayName="Tags" ref="D6:E10" totalsRowShown="0" headerRowCellStyle="Accent1">
  <autoFilter ref="D6:E10" xr:uid="{00000000-0009-0000-0100-000004000000}"/>
  <tableColumns count="2">
    <tableColumn id="1" xr3:uid="{00000000-0010-0000-0500-000001000000}" name="Tag To Replace"/>
    <tableColumn id="2" xr3:uid="{00000000-0010-0000-0500-000002000000}" name="Replace with column"/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defaults" displayName="defaults" ref="A2:G3" totalsRowShown="0" headerRowCellStyle="40% - Accent1" dataCellStyle="20% - Accent1">
  <autoFilter ref="A2:G3" xr:uid="{00000000-0009-0000-0100-000005000000}"/>
  <tableColumns count="7">
    <tableColumn id="1" xr3:uid="{00000000-0010-0000-0600-000001000000}" name="Selected template" dataCellStyle="20% - Accent1"/>
    <tableColumn id="2" xr3:uid="{00000000-0010-0000-0600-000002000000}" name="Worksheet file with contact details (default - this)" dataCellStyle="20% - Accent1"/>
    <tableColumn id="3" xr3:uid="{00000000-0010-0000-0600-000003000000}" name="Sheet Name" dataCellStyle="20% - Accent1"/>
    <tableColumn id="4" xr3:uid="{00000000-0010-0000-0600-000004000000}" name="Email column" dataDxfId="0" dataCellStyle="20% - Accent1"/>
    <tableColumn id="5" xr3:uid="{00000000-0010-0000-0600-000005000000}" name="telephone column" dataCellStyle="20% - Accent1"/>
    <tableColumn id="8" xr3:uid="{00000000-0010-0000-0600-000008000000}" name="contact mode" dataCellStyle="20% - Accent1"/>
    <tableColumn id="6" xr3:uid="{D65D02C6-E113-441F-B526-EEC801E699D6}" name="condition" dataCellStyle="20% - Accent1"/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B2D70C7-FF7A-45BC-B54D-BEE6BEAC7FC7}" name="Table8" displayName="Table8" ref="G6:J12" totalsRowShown="0" dataCellStyle="Check Cell">
  <autoFilter ref="G6:J12" xr:uid="{20C7FD64-C425-4F75-9059-E69F60C7057C}"/>
  <tableColumns count="4">
    <tableColumn id="1" xr3:uid="{CBAD590D-1898-4DC8-9EA3-99D42BCE1574}" name="Enabled" dataCellStyle="Check Cell"/>
    <tableColumn id="2" xr3:uid="{D3CC3BF3-D04A-47B9-8C58-877BE621A2FE}" name="description" dataCellStyle="Check Cell"/>
    <tableColumn id="3" xr3:uid="{3A95368A-4D80-4E7F-A42B-F8D25193C500}" name="columns" dataCellStyle="Check Cell"/>
    <tableColumn id="4" xr3:uid="{3A613253-21C2-4E1A-AB6F-A7C001980B83}" name="pseudo formula" dataCellStyle="Check Cell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C25"/>
  <sheetViews>
    <sheetView tabSelected="1" topLeftCell="A7" zoomScale="98" zoomScaleNormal="98" workbookViewId="0">
      <selection activeCell="F28" sqref="F28"/>
    </sheetView>
  </sheetViews>
  <sheetFormatPr defaultRowHeight="15" x14ac:dyDescent="0.25"/>
  <cols>
    <col min="1" max="1" width="9.85546875" customWidth="1"/>
    <col min="2" max="2" width="12.7109375" customWidth="1"/>
    <col min="3" max="3" width="12.28515625" bestFit="1" customWidth="1"/>
    <col min="4" max="4" width="10.7109375" bestFit="1" customWidth="1"/>
    <col min="5" max="5" width="13" customWidth="1"/>
    <col min="6" max="6" width="34.5703125" bestFit="1" customWidth="1"/>
    <col min="7" max="7" width="12" style="24" bestFit="1" customWidth="1"/>
    <col min="8" max="8" width="22.140625" bestFit="1" customWidth="1"/>
    <col min="9" max="9" width="14.85546875" customWidth="1"/>
    <col min="10" max="10" width="14.28515625" customWidth="1"/>
    <col min="11" max="11" width="13.5703125" customWidth="1"/>
    <col min="12" max="12" width="28.28515625" bestFit="1" customWidth="1"/>
    <col min="209" max="209" width="9.140625" customWidth="1"/>
  </cols>
  <sheetData>
    <row r="1" spans="1:21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6</v>
      </c>
      <c r="F1" s="2" t="s">
        <v>5</v>
      </c>
      <c r="G1" s="23" t="s">
        <v>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211" x14ac:dyDescent="0.25">
      <c r="A2" t="s">
        <v>86</v>
      </c>
      <c r="B2" t="s">
        <v>11</v>
      </c>
      <c r="C2" t="s">
        <v>35</v>
      </c>
      <c r="D2" s="1">
        <v>19432.655763888888</v>
      </c>
      <c r="E2" t="s">
        <v>192</v>
      </c>
      <c r="F2" t="s">
        <v>59</v>
      </c>
      <c r="H2" t="s">
        <v>83</v>
      </c>
      <c r="I2" s="1">
        <v>43265</v>
      </c>
      <c r="J2" s="1">
        <v>43295</v>
      </c>
      <c r="K2" t="s">
        <v>85</v>
      </c>
      <c r="M2">
        <v>5</v>
      </c>
      <c r="N2">
        <v>5</v>
      </c>
    </row>
    <row r="3" spans="1:211" x14ac:dyDescent="0.25">
      <c r="A3" t="s">
        <v>88</v>
      </c>
      <c r="B3" t="s">
        <v>12</v>
      </c>
      <c r="C3" t="s">
        <v>36</v>
      </c>
      <c r="D3" s="1">
        <v>19432.655763888888</v>
      </c>
      <c r="E3" t="s">
        <v>193</v>
      </c>
      <c r="F3" t="s">
        <v>60</v>
      </c>
      <c r="H3" t="s">
        <v>83</v>
      </c>
      <c r="I3" s="1">
        <v>43266</v>
      </c>
      <c r="J3" s="1">
        <v>43296</v>
      </c>
      <c r="M3">
        <v>5</v>
      </c>
      <c r="N3">
        <v>5</v>
      </c>
    </row>
    <row r="4" spans="1:211" x14ac:dyDescent="0.25">
      <c r="A4" t="s">
        <v>87</v>
      </c>
      <c r="B4" t="s">
        <v>13</v>
      </c>
      <c r="C4" t="s">
        <v>37</v>
      </c>
      <c r="D4" s="1">
        <v>19432.655763888888</v>
      </c>
      <c r="E4" t="s">
        <v>194</v>
      </c>
      <c r="F4" t="s">
        <v>61</v>
      </c>
      <c r="H4" t="s">
        <v>83</v>
      </c>
      <c r="I4" s="1">
        <v>43267</v>
      </c>
      <c r="J4" s="1">
        <v>43297</v>
      </c>
      <c r="K4" t="s">
        <v>85</v>
      </c>
      <c r="M4">
        <v>5</v>
      </c>
      <c r="N4">
        <v>5</v>
      </c>
    </row>
    <row r="5" spans="1:211" x14ac:dyDescent="0.25">
      <c r="A5" t="s">
        <v>89</v>
      </c>
      <c r="B5" t="s">
        <v>14</v>
      </c>
      <c r="C5" t="s">
        <v>38</v>
      </c>
      <c r="D5" s="1">
        <v>19432.655763888888</v>
      </c>
      <c r="E5" t="s">
        <v>195</v>
      </c>
      <c r="F5" t="s">
        <v>62</v>
      </c>
      <c r="H5" t="s">
        <v>83</v>
      </c>
      <c r="I5" s="1">
        <v>43268</v>
      </c>
      <c r="J5" s="1">
        <v>43307</v>
      </c>
      <c r="M5">
        <v>5</v>
      </c>
      <c r="N5">
        <v>5</v>
      </c>
    </row>
    <row r="6" spans="1:211" x14ac:dyDescent="0.25">
      <c r="A6" t="s">
        <v>90</v>
      </c>
      <c r="B6" t="s">
        <v>15</v>
      </c>
      <c r="C6" t="s">
        <v>39</v>
      </c>
      <c r="D6" s="1">
        <v>19432.655763888888</v>
      </c>
      <c r="E6" t="s">
        <v>196</v>
      </c>
      <c r="F6" t="s">
        <v>63</v>
      </c>
      <c r="H6" t="s">
        <v>83</v>
      </c>
      <c r="I6" s="1">
        <v>43269</v>
      </c>
      <c r="J6" s="1">
        <v>43308</v>
      </c>
      <c r="K6" t="s">
        <v>85</v>
      </c>
      <c r="M6">
        <v>5</v>
      </c>
      <c r="N6">
        <v>5</v>
      </c>
    </row>
    <row r="7" spans="1:211" s="3" customFormat="1" x14ac:dyDescent="0.25">
      <c r="A7" t="s">
        <v>91</v>
      </c>
      <c r="B7" t="s">
        <v>16</v>
      </c>
      <c r="C7" t="s">
        <v>40</v>
      </c>
      <c r="D7" s="1">
        <v>19432.655763888888</v>
      </c>
      <c r="E7" t="s">
        <v>197</v>
      </c>
      <c r="F7" t="s">
        <v>64</v>
      </c>
      <c r="G7" s="24" t="s">
        <v>217</v>
      </c>
      <c r="H7" t="s">
        <v>83</v>
      </c>
      <c r="I7" s="1">
        <v>43270</v>
      </c>
      <c r="J7" s="1">
        <v>43309</v>
      </c>
      <c r="K7"/>
      <c r="L7"/>
      <c r="M7">
        <v>5</v>
      </c>
      <c r="N7">
        <v>5</v>
      </c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</row>
    <row r="8" spans="1:211" s="3" customFormat="1" x14ac:dyDescent="0.25">
      <c r="A8" t="s">
        <v>92</v>
      </c>
      <c r="B8" t="s">
        <v>17</v>
      </c>
      <c r="C8" t="s">
        <v>41</v>
      </c>
      <c r="D8" s="1">
        <v>19432.655763888888</v>
      </c>
      <c r="E8" t="s">
        <v>198</v>
      </c>
      <c r="F8" t="s">
        <v>65</v>
      </c>
      <c r="G8" s="24" t="s">
        <v>217</v>
      </c>
      <c r="H8" t="s">
        <v>83</v>
      </c>
      <c r="I8" s="1">
        <v>43271</v>
      </c>
      <c r="J8" s="1">
        <v>43310</v>
      </c>
      <c r="K8" t="s">
        <v>85</v>
      </c>
      <c r="L8"/>
      <c r="M8">
        <v>5</v>
      </c>
      <c r="N8">
        <v>5</v>
      </c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</row>
    <row r="9" spans="1:211" s="3" customFormat="1" x14ac:dyDescent="0.25">
      <c r="A9" t="s">
        <v>93</v>
      </c>
      <c r="B9" t="s">
        <v>18</v>
      </c>
      <c r="C9" t="s">
        <v>42</v>
      </c>
      <c r="D9" s="1">
        <v>19432.655763888888</v>
      </c>
      <c r="E9" t="s">
        <v>199</v>
      </c>
      <c r="F9" t="s">
        <v>66</v>
      </c>
      <c r="G9" s="24" t="s">
        <v>217</v>
      </c>
      <c r="H9" t="s">
        <v>83</v>
      </c>
      <c r="I9" s="1">
        <v>43272</v>
      </c>
      <c r="J9" s="1">
        <v>43311</v>
      </c>
      <c r="K9"/>
      <c r="L9"/>
      <c r="M9">
        <v>5</v>
      </c>
      <c r="N9">
        <v>5</v>
      </c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</row>
    <row r="10" spans="1:211" s="3" customFormat="1" x14ac:dyDescent="0.25">
      <c r="A10" t="s">
        <v>94</v>
      </c>
      <c r="B10" t="s">
        <v>19</v>
      </c>
      <c r="C10" t="s">
        <v>43</v>
      </c>
      <c r="D10" s="1">
        <v>19432.655763888888</v>
      </c>
      <c r="E10" t="s">
        <v>200</v>
      </c>
      <c r="F10" t="s">
        <v>67</v>
      </c>
      <c r="G10" s="24" t="s">
        <v>217</v>
      </c>
      <c r="H10" t="s">
        <v>83</v>
      </c>
      <c r="I10" s="1">
        <v>43273</v>
      </c>
      <c r="J10" s="1">
        <v>43312</v>
      </c>
      <c r="K10" t="s">
        <v>85</v>
      </c>
      <c r="L10"/>
      <c r="M10">
        <v>5</v>
      </c>
      <c r="N10">
        <v>5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</row>
    <row r="11" spans="1:211" s="3" customFormat="1" x14ac:dyDescent="0.25">
      <c r="A11" t="s">
        <v>95</v>
      </c>
      <c r="B11" t="s">
        <v>20</v>
      </c>
      <c r="C11" t="s">
        <v>44</v>
      </c>
      <c r="D11" s="1">
        <v>19432.655763888888</v>
      </c>
      <c r="E11" t="s">
        <v>201</v>
      </c>
      <c r="F11" t="s">
        <v>68</v>
      </c>
      <c r="G11" s="24" t="s">
        <v>217</v>
      </c>
      <c r="H11" t="s">
        <v>83</v>
      </c>
      <c r="I11" s="1">
        <v>43274</v>
      </c>
      <c r="J11" s="1">
        <v>43313</v>
      </c>
      <c r="K11" t="s">
        <v>85</v>
      </c>
      <c r="L11"/>
      <c r="M11">
        <v>5</v>
      </c>
      <c r="N11">
        <v>5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</row>
    <row r="12" spans="1:211" s="3" customFormat="1" x14ac:dyDescent="0.25">
      <c r="A12" t="s">
        <v>96</v>
      </c>
      <c r="B12" t="s">
        <v>21</v>
      </c>
      <c r="C12" t="s">
        <v>58</v>
      </c>
      <c r="D12" s="1">
        <v>19432.655763888888</v>
      </c>
      <c r="E12" t="s">
        <v>202</v>
      </c>
      <c r="F12" t="s">
        <v>69</v>
      </c>
      <c r="G12" s="24" t="s">
        <v>217</v>
      </c>
      <c r="H12" t="s">
        <v>162</v>
      </c>
      <c r="I12" s="1">
        <v>43275</v>
      </c>
      <c r="J12" s="1">
        <v>43314</v>
      </c>
      <c r="K12"/>
      <c r="L12" s="19"/>
      <c r="M12">
        <v>3</v>
      </c>
      <c r="N12">
        <v>5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</row>
    <row r="13" spans="1:211" s="3" customFormat="1" x14ac:dyDescent="0.25">
      <c r="A13" t="s">
        <v>97</v>
      </c>
      <c r="B13" t="s">
        <v>22</v>
      </c>
      <c r="C13" t="s">
        <v>45</v>
      </c>
      <c r="D13" s="1">
        <v>19432.655763888888</v>
      </c>
      <c r="E13" t="s">
        <v>203</v>
      </c>
      <c r="F13" t="s">
        <v>70</v>
      </c>
      <c r="G13" s="24" t="s">
        <v>217</v>
      </c>
      <c r="H13" t="s">
        <v>83</v>
      </c>
      <c r="I13" s="1">
        <v>43276</v>
      </c>
      <c r="J13" s="1">
        <v>43315</v>
      </c>
      <c r="K13" t="s">
        <v>85</v>
      </c>
      <c r="L13"/>
      <c r="M13">
        <v>5</v>
      </c>
      <c r="N13">
        <v>5</v>
      </c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</row>
    <row r="14" spans="1:211" s="3" customFormat="1" x14ac:dyDescent="0.25">
      <c r="A14" t="s">
        <v>98</v>
      </c>
      <c r="B14" t="s">
        <v>23</v>
      </c>
      <c r="C14" t="s">
        <v>57</v>
      </c>
      <c r="D14" s="1">
        <v>19432.655763888888</v>
      </c>
      <c r="E14" t="s">
        <v>204</v>
      </c>
      <c r="F14" t="s">
        <v>71</v>
      </c>
      <c r="G14" s="24" t="s">
        <v>217</v>
      </c>
      <c r="H14" t="s">
        <v>83</v>
      </c>
      <c r="I14" s="1">
        <v>43277</v>
      </c>
      <c r="J14" s="1">
        <v>43316</v>
      </c>
      <c r="K14"/>
      <c r="L14"/>
      <c r="M14">
        <v>5</v>
      </c>
      <c r="N14">
        <v>5</v>
      </c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</row>
    <row r="15" spans="1:211" x14ac:dyDescent="0.25">
      <c r="A15" t="s">
        <v>99</v>
      </c>
      <c r="B15" t="s">
        <v>24</v>
      </c>
      <c r="C15" t="s">
        <v>46</v>
      </c>
      <c r="D15" s="1">
        <v>19432.655763888888</v>
      </c>
      <c r="E15" t="s">
        <v>205</v>
      </c>
      <c r="F15" t="s">
        <v>72</v>
      </c>
      <c r="G15" s="24" t="s">
        <v>217</v>
      </c>
      <c r="H15" t="s">
        <v>83</v>
      </c>
      <c r="I15" s="1">
        <v>43278</v>
      </c>
      <c r="J15" s="1">
        <v>43308</v>
      </c>
      <c r="K15" t="s">
        <v>85</v>
      </c>
      <c r="M15">
        <v>5</v>
      </c>
      <c r="N15">
        <v>5</v>
      </c>
    </row>
    <row r="16" spans="1:211" s="3" customFormat="1" x14ac:dyDescent="0.25">
      <c r="A16" t="s">
        <v>100</v>
      </c>
      <c r="B16" t="s">
        <v>25</v>
      </c>
      <c r="C16" t="s">
        <v>47</v>
      </c>
      <c r="D16" s="1">
        <v>19432.655763888888</v>
      </c>
      <c r="E16" t="s">
        <v>206</v>
      </c>
      <c r="F16" t="s">
        <v>73</v>
      </c>
      <c r="G16" s="24" t="s">
        <v>217</v>
      </c>
      <c r="H16" t="s">
        <v>83</v>
      </c>
      <c r="I16" s="1">
        <v>43279</v>
      </c>
      <c r="J16" s="1">
        <v>43309</v>
      </c>
      <c r="K16"/>
      <c r="L16"/>
      <c r="M16">
        <v>5</v>
      </c>
      <c r="N16">
        <v>5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</row>
    <row r="17" spans="1:211" s="3" customFormat="1" x14ac:dyDescent="0.25">
      <c r="A17" t="s">
        <v>101</v>
      </c>
      <c r="B17" t="s">
        <v>26</v>
      </c>
      <c r="C17" t="s">
        <v>48</v>
      </c>
      <c r="D17" s="1">
        <v>19432.655763888888</v>
      </c>
      <c r="E17" t="s">
        <v>207</v>
      </c>
      <c r="F17" t="s">
        <v>74</v>
      </c>
      <c r="G17" s="24" t="s">
        <v>217</v>
      </c>
      <c r="H17" t="s">
        <v>163</v>
      </c>
      <c r="I17" s="1">
        <v>43280</v>
      </c>
      <c r="J17" s="1">
        <v>43310</v>
      </c>
      <c r="K17" t="s">
        <v>85</v>
      </c>
      <c r="L17" s="19"/>
      <c r="M17">
        <v>5</v>
      </c>
      <c r="N17">
        <v>73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</row>
    <row r="18" spans="1:211" s="3" customFormat="1" x14ac:dyDescent="0.25">
      <c r="A18" t="s">
        <v>102</v>
      </c>
      <c r="B18" t="s">
        <v>27</v>
      </c>
      <c r="C18" t="s">
        <v>56</v>
      </c>
      <c r="D18" s="1">
        <v>19432.655763888888</v>
      </c>
      <c r="E18" t="s">
        <v>208</v>
      </c>
      <c r="F18" t="s">
        <v>75</v>
      </c>
      <c r="G18" s="24" t="s">
        <v>217</v>
      </c>
      <c r="H18" t="s">
        <v>83</v>
      </c>
      <c r="I18" s="1">
        <v>43281</v>
      </c>
      <c r="J18" s="1">
        <v>43311</v>
      </c>
      <c r="K18"/>
      <c r="L18"/>
      <c r="M18">
        <v>5</v>
      </c>
      <c r="N18">
        <v>5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</row>
    <row r="19" spans="1:211" x14ac:dyDescent="0.25">
      <c r="A19" t="s">
        <v>103</v>
      </c>
      <c r="B19" t="s">
        <v>28</v>
      </c>
      <c r="C19" t="s">
        <v>49</v>
      </c>
      <c r="D19" s="1">
        <v>19432.655763888888</v>
      </c>
      <c r="E19" t="s">
        <v>209</v>
      </c>
      <c r="F19" t="s">
        <v>76</v>
      </c>
      <c r="G19" s="24" t="s">
        <v>217</v>
      </c>
      <c r="H19" t="s">
        <v>83</v>
      </c>
      <c r="I19" s="1" t="s">
        <v>84</v>
      </c>
      <c r="J19" s="1" t="s">
        <v>84</v>
      </c>
      <c r="K19" t="s">
        <v>85</v>
      </c>
      <c r="M19">
        <v>5</v>
      </c>
      <c r="N19">
        <v>5</v>
      </c>
    </row>
    <row r="20" spans="1:211" s="3" customFormat="1" x14ac:dyDescent="0.25">
      <c r="A20" t="s">
        <v>104</v>
      </c>
      <c r="B20" t="s">
        <v>29</v>
      </c>
      <c r="C20" t="s">
        <v>50</v>
      </c>
      <c r="D20" s="1">
        <v>19432.655763888888</v>
      </c>
      <c r="E20" t="s">
        <v>210</v>
      </c>
      <c r="F20" t="s">
        <v>77</v>
      </c>
      <c r="G20" s="24" t="s">
        <v>217</v>
      </c>
      <c r="H20" t="s">
        <v>83</v>
      </c>
      <c r="I20" s="1">
        <v>43283</v>
      </c>
      <c r="J20" s="1">
        <v>43313</v>
      </c>
      <c r="K20" t="s">
        <v>85</v>
      </c>
      <c r="L20"/>
      <c r="M20">
        <v>5</v>
      </c>
      <c r="N20">
        <v>5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</row>
    <row r="21" spans="1:211" s="3" customFormat="1" x14ac:dyDescent="0.25">
      <c r="A21" t="s">
        <v>105</v>
      </c>
      <c r="B21" t="s">
        <v>30</v>
      </c>
      <c r="C21" t="s">
        <v>51</v>
      </c>
      <c r="D21" s="1">
        <v>19432.655763888888</v>
      </c>
      <c r="E21" t="s">
        <v>211</v>
      </c>
      <c r="F21" t="s">
        <v>78</v>
      </c>
      <c r="G21" s="24" t="s">
        <v>217</v>
      </c>
      <c r="H21" t="s">
        <v>83</v>
      </c>
      <c r="I21" s="1">
        <v>43284</v>
      </c>
      <c r="J21" s="1">
        <v>43314</v>
      </c>
      <c r="K21"/>
      <c r="L21"/>
      <c r="M21">
        <v>5</v>
      </c>
      <c r="N21">
        <v>5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</row>
    <row r="22" spans="1:211" x14ac:dyDescent="0.25">
      <c r="A22" t="s">
        <v>106</v>
      </c>
      <c r="B22" t="s">
        <v>31</v>
      </c>
      <c r="C22" t="s">
        <v>52</v>
      </c>
      <c r="D22" s="1">
        <v>19432.655763888888</v>
      </c>
      <c r="E22" t="s">
        <v>212</v>
      </c>
      <c r="F22" t="s">
        <v>79</v>
      </c>
      <c r="G22" s="24" t="s">
        <v>217</v>
      </c>
      <c r="H22" t="s">
        <v>83</v>
      </c>
      <c r="I22" s="1">
        <v>43285</v>
      </c>
      <c r="J22" s="1">
        <v>43282</v>
      </c>
      <c r="K22" t="s">
        <v>85</v>
      </c>
      <c r="M22">
        <v>5</v>
      </c>
      <c r="N22">
        <v>5</v>
      </c>
    </row>
    <row r="23" spans="1:211" x14ac:dyDescent="0.25">
      <c r="A23" t="s">
        <v>107</v>
      </c>
      <c r="B23" t="s">
        <v>32</v>
      </c>
      <c r="C23" t="s">
        <v>53</v>
      </c>
      <c r="D23" s="1">
        <v>19432.655763888888</v>
      </c>
      <c r="E23" t="s">
        <v>213</v>
      </c>
      <c r="F23" t="s">
        <v>80</v>
      </c>
      <c r="G23" s="24" t="s">
        <v>217</v>
      </c>
      <c r="H23" t="s">
        <v>83</v>
      </c>
      <c r="I23" s="1">
        <v>43286</v>
      </c>
      <c r="J23" s="1">
        <v>43283</v>
      </c>
      <c r="M23">
        <v>5</v>
      </c>
      <c r="N23">
        <v>5</v>
      </c>
    </row>
    <row r="24" spans="1:211" s="3" customFormat="1" x14ac:dyDescent="0.25">
      <c r="A24" t="s">
        <v>108</v>
      </c>
      <c r="B24" t="s">
        <v>33</v>
      </c>
      <c r="C24" t="s">
        <v>54</v>
      </c>
      <c r="D24" s="1">
        <v>19432.655763888888</v>
      </c>
      <c r="E24" t="s">
        <v>214</v>
      </c>
      <c r="F24" t="s">
        <v>81</v>
      </c>
      <c r="G24" s="24" t="s">
        <v>217</v>
      </c>
      <c r="H24" t="s">
        <v>83</v>
      </c>
      <c r="I24" s="1">
        <v>43287</v>
      </c>
      <c r="J24" s="1">
        <v>43317</v>
      </c>
      <c r="K24" t="s">
        <v>85</v>
      </c>
      <c r="L24"/>
      <c r="M24">
        <v>5</v>
      </c>
      <c r="N24">
        <v>5</v>
      </c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</row>
    <row r="25" spans="1:211" s="3" customFormat="1" x14ac:dyDescent="0.25">
      <c r="A25" t="s">
        <v>109</v>
      </c>
      <c r="B25" t="s">
        <v>34</v>
      </c>
      <c r="C25" t="s">
        <v>55</v>
      </c>
      <c r="D25" s="1">
        <v>19432.655763888888</v>
      </c>
      <c r="E25" t="s">
        <v>215</v>
      </c>
      <c r="F25" t="s">
        <v>82</v>
      </c>
      <c r="G25" s="24" t="s">
        <v>217</v>
      </c>
      <c r="H25" t="s">
        <v>83</v>
      </c>
      <c r="I25" s="1">
        <v>43288</v>
      </c>
      <c r="J25" s="1">
        <v>43318</v>
      </c>
      <c r="K25"/>
      <c r="L25"/>
      <c r="M25">
        <v>5</v>
      </c>
      <c r="N25">
        <v>5</v>
      </c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24"/>
  <sheetViews>
    <sheetView zoomScale="83" zoomScaleNormal="100" workbookViewId="0">
      <selection activeCell="B7" sqref="B7"/>
    </sheetView>
  </sheetViews>
  <sheetFormatPr defaultRowHeight="15" x14ac:dyDescent="0.25"/>
  <cols>
    <col min="1" max="1" width="44.28515625" customWidth="1"/>
    <col min="2" max="2" width="71.5703125" customWidth="1"/>
    <col min="3" max="3" width="15.140625" bestFit="1" customWidth="1"/>
    <col min="4" max="4" width="19.5703125" bestFit="1" customWidth="1"/>
    <col min="5" max="5" width="21.5703125" customWidth="1"/>
    <col min="6" max="6" width="34.42578125" customWidth="1"/>
    <col min="7" max="7" width="24.85546875" bestFit="1" customWidth="1"/>
    <col min="8" max="8" width="29.7109375" bestFit="1" customWidth="1"/>
    <col min="9" max="9" width="12.7109375" bestFit="1" customWidth="1"/>
    <col min="10" max="10" width="36" bestFit="1" customWidth="1"/>
    <col min="12" max="12" width="13.42578125" customWidth="1"/>
    <col min="13" max="13" width="13.7109375" customWidth="1"/>
  </cols>
  <sheetData>
    <row r="1" spans="1:13" ht="138.75" customHeight="1" x14ac:dyDescent="0.35">
      <c r="A1" s="7" t="s">
        <v>117</v>
      </c>
      <c r="B1" s="17" t="s">
        <v>185</v>
      </c>
      <c r="C1" s="17" t="s">
        <v>189</v>
      </c>
      <c r="D1" s="6"/>
      <c r="E1" s="6">
        <v>134</v>
      </c>
      <c r="F1" s="18" t="s">
        <v>190</v>
      </c>
      <c r="G1" s="9" t="s">
        <v>191</v>
      </c>
      <c r="H1" s="14"/>
      <c r="I1" s="14"/>
      <c r="J1" s="14"/>
    </row>
    <row r="2" spans="1:13" ht="23.25" x14ac:dyDescent="0.35">
      <c r="A2" s="12" t="s">
        <v>186</v>
      </c>
      <c r="B2" s="12" t="s">
        <v>187</v>
      </c>
      <c r="C2" s="12" t="s">
        <v>188</v>
      </c>
      <c r="D2" s="12" t="s">
        <v>122</v>
      </c>
      <c r="E2" s="12" t="s">
        <v>139</v>
      </c>
      <c r="F2" s="12" t="s">
        <v>168</v>
      </c>
      <c r="G2" s="5" t="s">
        <v>169</v>
      </c>
      <c r="H2" s="14"/>
      <c r="I2" s="14"/>
      <c r="J2" s="14"/>
    </row>
    <row r="3" spans="1:13" ht="24" thickBot="1" x14ac:dyDescent="0.4">
      <c r="A3" s="11" t="s">
        <v>112</v>
      </c>
      <c r="B3" s="11" t="s">
        <v>165</v>
      </c>
      <c r="C3" s="11" t="s">
        <v>121</v>
      </c>
      <c r="D3" s="11" t="s">
        <v>123</v>
      </c>
      <c r="E3" s="11" t="s">
        <v>140</v>
      </c>
      <c r="F3" s="11" t="s">
        <v>141</v>
      </c>
      <c r="G3" s="4" t="s">
        <v>166</v>
      </c>
      <c r="H3" s="14"/>
      <c r="I3" s="14"/>
      <c r="J3" s="14"/>
      <c r="L3" s="1">
        <v>43342</v>
      </c>
    </row>
    <row r="4" spans="1:13" ht="39" customHeight="1" thickTop="1" thickBot="1" x14ac:dyDescent="0.4">
      <c r="A4" s="13">
        <f>MATCH(defaults[Selected template],AutoSendTemplates[template.name],0)+6</f>
        <v>7</v>
      </c>
      <c r="B4" s="10" t="s">
        <v>171</v>
      </c>
      <c r="C4" s="6"/>
      <c r="D4" s="10" t="s">
        <v>172</v>
      </c>
      <c r="E4" s="6"/>
      <c r="F4" s="6"/>
      <c r="G4" s="6"/>
      <c r="H4" s="14" t="s">
        <v>182</v>
      </c>
      <c r="I4" s="14"/>
      <c r="J4" s="14"/>
      <c r="L4" s="30" t="b">
        <f ca="1">L3&lt;(TODAY()+14)</f>
        <v>1</v>
      </c>
    </row>
    <row r="5" spans="1:13" ht="38.25" customHeight="1" thickTop="1" x14ac:dyDescent="0.25">
      <c r="A5" s="8"/>
      <c r="B5" s="9" t="s">
        <v>170</v>
      </c>
      <c r="C5" s="6"/>
      <c r="D5" s="6" t="s">
        <v>113</v>
      </c>
      <c r="E5" s="6" t="s">
        <v>116</v>
      </c>
      <c r="F5" s="6"/>
      <c r="G5" s="9" t="s">
        <v>131</v>
      </c>
      <c r="H5" s="9" t="s">
        <v>132</v>
      </c>
      <c r="I5" s="6" t="s">
        <v>179</v>
      </c>
      <c r="J5" s="6"/>
    </row>
    <row r="6" spans="1:13" ht="15.75" thickBot="1" x14ac:dyDescent="0.3">
      <c r="A6" t="s">
        <v>110</v>
      </c>
      <c r="B6" t="s">
        <v>111</v>
      </c>
      <c r="D6" t="s">
        <v>115</v>
      </c>
      <c r="E6" t="s">
        <v>114</v>
      </c>
      <c r="G6" t="s">
        <v>176</v>
      </c>
      <c r="H6" t="s">
        <v>177</v>
      </c>
      <c r="I6" t="s">
        <v>178</v>
      </c>
      <c r="J6" t="s">
        <v>127</v>
      </c>
      <c r="L6" t="s">
        <v>160</v>
      </c>
      <c r="M6" t="s">
        <v>161</v>
      </c>
    </row>
    <row r="7" spans="1:13" ht="16.5" thickTop="1" thickBot="1" x14ac:dyDescent="0.3">
      <c r="A7" t="s">
        <v>112</v>
      </c>
      <c r="B7" t="s">
        <v>218</v>
      </c>
      <c r="D7" t="s">
        <v>173</v>
      </c>
      <c r="E7" t="s">
        <v>118</v>
      </c>
      <c r="G7" s="15" t="b">
        <v>0</v>
      </c>
      <c r="H7" s="15" t="s">
        <v>180</v>
      </c>
      <c r="I7" s="15" t="s">
        <v>120</v>
      </c>
      <c r="J7" s="15" t="s">
        <v>126</v>
      </c>
      <c r="L7" t="s">
        <v>142</v>
      </c>
      <c r="M7">
        <v>1</v>
      </c>
    </row>
    <row r="8" spans="1:13" ht="16.5" thickTop="1" thickBot="1" x14ac:dyDescent="0.3">
      <c r="D8" t="s">
        <v>174</v>
      </c>
      <c r="E8" t="s">
        <v>119</v>
      </c>
      <c r="G8" s="15" t="b">
        <v>0</v>
      </c>
      <c r="H8" s="15" t="s">
        <v>181</v>
      </c>
      <c r="I8" s="15"/>
      <c r="J8" s="15" t="b">
        <v>1</v>
      </c>
      <c r="L8" t="s">
        <v>143</v>
      </c>
      <c r="M8">
        <v>2</v>
      </c>
    </row>
    <row r="9" spans="1:13" ht="16.5" thickTop="1" thickBot="1" x14ac:dyDescent="0.3">
      <c r="D9" t="s">
        <v>175</v>
      </c>
      <c r="E9" t="s">
        <v>120</v>
      </c>
      <c r="G9" s="15" t="b">
        <v>0</v>
      </c>
      <c r="H9" s="15" t="s">
        <v>183</v>
      </c>
      <c r="I9" s="15" t="s">
        <v>125</v>
      </c>
      <c r="J9" s="15" t="s">
        <v>128</v>
      </c>
      <c r="L9" t="s">
        <v>144</v>
      </c>
      <c r="M9">
        <v>3</v>
      </c>
    </row>
    <row r="10" spans="1:13" ht="16.5" thickTop="1" thickBot="1" x14ac:dyDescent="0.3">
      <c r="D10" t="s">
        <v>124</v>
      </c>
      <c r="E10" t="s">
        <v>125</v>
      </c>
      <c r="G10" s="15" t="b">
        <v>0</v>
      </c>
      <c r="H10" s="15" t="s">
        <v>184</v>
      </c>
      <c r="I10" s="15" t="s">
        <v>129</v>
      </c>
      <c r="J10" s="15" t="s">
        <v>130</v>
      </c>
      <c r="L10" t="s">
        <v>145</v>
      </c>
      <c r="M10">
        <v>4</v>
      </c>
    </row>
    <row r="11" spans="1:13" ht="16.5" thickTop="1" thickBot="1" x14ac:dyDescent="0.3">
      <c r="G11" s="15" t="b">
        <v>1</v>
      </c>
      <c r="H11" s="15" t="s">
        <v>133</v>
      </c>
      <c r="I11" s="15" t="s">
        <v>134</v>
      </c>
      <c r="J11" s="15" t="s">
        <v>137</v>
      </c>
      <c r="L11" t="s">
        <v>146</v>
      </c>
      <c r="M11">
        <v>5</v>
      </c>
    </row>
    <row r="12" spans="1:13" ht="15.75" thickTop="1" x14ac:dyDescent="0.25">
      <c r="G12" s="16" t="b">
        <v>0</v>
      </c>
      <c r="H12" s="16" t="s">
        <v>135</v>
      </c>
      <c r="I12" s="16" t="s">
        <v>136</v>
      </c>
      <c r="J12" s="16" t="s">
        <v>138</v>
      </c>
      <c r="L12" t="s">
        <v>147</v>
      </c>
      <c r="M12">
        <v>6</v>
      </c>
    </row>
    <row r="13" spans="1:13" x14ac:dyDescent="0.25">
      <c r="L13" t="s">
        <v>148</v>
      </c>
      <c r="M13">
        <v>7</v>
      </c>
    </row>
    <row r="14" spans="1:13" x14ac:dyDescent="0.25">
      <c r="L14" t="s">
        <v>149</v>
      </c>
      <c r="M14">
        <v>8</v>
      </c>
    </row>
    <row r="15" spans="1:13" x14ac:dyDescent="0.25">
      <c r="L15" t="s">
        <v>150</v>
      </c>
      <c r="M15">
        <v>9</v>
      </c>
    </row>
    <row r="16" spans="1:13" x14ac:dyDescent="0.25">
      <c r="L16" t="s">
        <v>151</v>
      </c>
      <c r="M16">
        <v>10</v>
      </c>
    </row>
    <row r="17" spans="12:13" x14ac:dyDescent="0.25">
      <c r="L17" t="s">
        <v>152</v>
      </c>
      <c r="M17">
        <v>11</v>
      </c>
    </row>
    <row r="18" spans="12:13" x14ac:dyDescent="0.25">
      <c r="L18" t="s">
        <v>153</v>
      </c>
      <c r="M18">
        <v>12</v>
      </c>
    </row>
    <row r="19" spans="12:13" x14ac:dyDescent="0.25">
      <c r="L19" t="s">
        <v>154</v>
      </c>
      <c r="M19">
        <v>13</v>
      </c>
    </row>
    <row r="20" spans="12:13" x14ac:dyDescent="0.25">
      <c r="L20" t="s">
        <v>155</v>
      </c>
      <c r="M20">
        <v>14</v>
      </c>
    </row>
    <row r="21" spans="12:13" x14ac:dyDescent="0.25">
      <c r="L21" t="s">
        <v>156</v>
      </c>
      <c r="M21">
        <v>15</v>
      </c>
    </row>
    <row r="22" spans="12:13" x14ac:dyDescent="0.25">
      <c r="L22" t="s">
        <v>157</v>
      </c>
      <c r="M22">
        <v>16</v>
      </c>
    </row>
    <row r="23" spans="12:13" x14ac:dyDescent="0.25">
      <c r="L23" t="s">
        <v>158</v>
      </c>
      <c r="M23">
        <v>17</v>
      </c>
    </row>
    <row r="24" spans="12:13" x14ac:dyDescent="0.25">
      <c r="L24" t="s">
        <v>159</v>
      </c>
      <c r="M24">
        <v>18</v>
      </c>
    </row>
  </sheetData>
  <conditionalFormatting sqref="G7:J12">
    <cfRule type="expression" dxfId="2" priority="2">
      <formula>NOT($G7)</formula>
    </cfRule>
  </conditionalFormatting>
  <conditionalFormatting sqref="L4">
    <cfRule type="expression" dxfId="1" priority="1">
      <formula>NOT($G4)</formula>
    </cfRule>
  </conditionalFormatting>
  <dataValidations count="4">
    <dataValidation type="list" allowBlank="1" showInputMessage="1" showErrorMessage="1" sqref="A3" xr:uid="{00000000-0002-0000-0500-000001000000}">
      <formula1>INDIRECT("AutoSendTemplates[template.name]")</formula1>
    </dataValidation>
    <dataValidation type="list" allowBlank="1" showInputMessage="1" showErrorMessage="1" sqref="G3" xr:uid="{A1C2109A-E589-4C23-93F1-AD96FC7D4405}">
      <formula1>"1.wszystkie(AND),2.przynajmniej jeden(OR)"</formula1>
    </dataValidation>
    <dataValidation type="list" allowBlank="1" showErrorMessage="1" sqref="G7:G12" xr:uid="{95316CFF-5F38-4133-BE24-914BC80AA228}">
      <formula1>"TRUE,FALSE"</formula1>
    </dataValidation>
    <dataValidation type="list" allowBlank="1" showInputMessage="1" showErrorMessage="1" sqref="F3" xr:uid="{26763CBA-A761-4F24-9006-F5AA11B3B4A3}">
      <formula1>"SMS, EMAIL"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SMSbtn">
          <controlPr defaultSize="0" autoLine="0" r:id="rId5">
            <anchor moveWithCells="1">
              <from>
                <xdr:col>4</xdr:col>
                <xdr:colOff>238125</xdr:colOff>
                <xdr:row>0</xdr:row>
                <xdr:rowOff>95250</xdr:rowOff>
              </from>
              <to>
                <xdr:col>4</xdr:col>
                <xdr:colOff>1162050</xdr:colOff>
                <xdr:row>0</xdr:row>
                <xdr:rowOff>352425</xdr:rowOff>
              </to>
            </anchor>
          </controlPr>
        </control>
      </mc:Choice>
      <mc:Fallback>
        <control shapeId="6149" r:id="rId4" name="SMSbtn"/>
      </mc:Fallback>
    </mc:AlternateContent>
    <mc:AlternateContent xmlns:mc="http://schemas.openxmlformats.org/markup-compatibility/2006">
      <mc:Choice Requires="x14">
        <control shapeId="6150" r:id="rId6" name="EMAILbtn">
          <controlPr defaultSize="0" autoLine="0" r:id="rId7">
            <anchor moveWithCells="1">
              <from>
                <xdr:col>1</xdr:col>
                <xdr:colOff>3695700</xdr:colOff>
                <xdr:row>0</xdr:row>
                <xdr:rowOff>76200</xdr:rowOff>
              </from>
              <to>
                <xdr:col>1</xdr:col>
                <xdr:colOff>4724400</xdr:colOff>
                <xdr:row>0</xdr:row>
                <xdr:rowOff>371475</xdr:rowOff>
              </to>
            </anchor>
          </controlPr>
        </control>
      </mc:Choice>
      <mc:Fallback>
        <control shapeId="6150" r:id="rId6" name="EMAILbtn"/>
      </mc:Fallback>
    </mc:AlternateContent>
    <mc:AlternateContent xmlns:mc="http://schemas.openxmlformats.org/markup-compatibility/2006">
      <mc:Choice Requires="x14">
        <control shapeId="6151" r:id="rId8" name="TestBtn">
          <controlPr defaultSize="0" autoLine="0" r:id="rId9">
            <anchor moveWithCells="1">
              <from>
                <xdr:col>7</xdr:col>
                <xdr:colOff>1952625</xdr:colOff>
                <xdr:row>0</xdr:row>
                <xdr:rowOff>133350</xdr:rowOff>
              </from>
              <to>
                <xdr:col>9</xdr:col>
                <xdr:colOff>114300</xdr:colOff>
                <xdr:row>0</xdr:row>
                <xdr:rowOff>552450</xdr:rowOff>
              </to>
            </anchor>
          </controlPr>
        </control>
      </mc:Choice>
      <mc:Fallback>
        <control shapeId="6151" r:id="rId8" name="TestBtn"/>
      </mc:Fallback>
    </mc:AlternateContent>
    <mc:AlternateContent xmlns:mc="http://schemas.openxmlformats.org/markup-compatibility/2006">
      <mc:Choice Requires="x14">
        <control shapeId="6152" r:id="rId10" name="TextBoxEmailSubject">
          <controlPr defaultSize="0" autoLine="0" r:id="rId11">
            <anchor moveWithCells="1">
              <from>
                <xdr:col>1</xdr:col>
                <xdr:colOff>28575</xdr:colOff>
                <xdr:row>0</xdr:row>
                <xdr:rowOff>457200</xdr:rowOff>
              </from>
              <to>
                <xdr:col>1</xdr:col>
                <xdr:colOff>4695825</xdr:colOff>
                <xdr:row>0</xdr:row>
                <xdr:rowOff>742950</xdr:rowOff>
              </to>
            </anchor>
          </controlPr>
        </control>
      </mc:Choice>
      <mc:Fallback>
        <control shapeId="6152" r:id="rId10" name="TextBoxEmailSubject"/>
      </mc:Fallback>
    </mc:AlternateContent>
    <mc:AlternateContent xmlns:mc="http://schemas.openxmlformats.org/markup-compatibility/2006">
      <mc:Choice Requires="x14">
        <control shapeId="6154" r:id="rId12" name="TextBoxAndroidIP">
          <controlPr defaultSize="0" autoLine="0" r:id="rId13">
            <anchor moveWithCells="1">
              <from>
                <xdr:col>5</xdr:col>
                <xdr:colOff>219075</xdr:colOff>
                <xdr:row>0</xdr:row>
                <xdr:rowOff>847725</xdr:rowOff>
              </from>
              <to>
                <xdr:col>5</xdr:col>
                <xdr:colOff>1162050</xdr:colOff>
                <xdr:row>0</xdr:row>
                <xdr:rowOff>1133475</xdr:rowOff>
              </to>
            </anchor>
          </controlPr>
        </control>
      </mc:Choice>
      <mc:Fallback>
        <control shapeId="6154" r:id="rId12" name="TextBoxAndroidIP"/>
      </mc:Fallback>
    </mc:AlternateContent>
    <mc:AlternateContent xmlns:mc="http://schemas.openxmlformats.org/markup-compatibility/2006">
      <mc:Choice Requires="x14">
        <control shapeId="6155" r:id="rId14" name="TextBoxAndroidPORT">
          <controlPr defaultSize="0" autoLine="0" autoPict="0" r:id="rId15">
            <anchor moveWithCells="1">
              <from>
                <xdr:col>5</xdr:col>
                <xdr:colOff>1352550</xdr:colOff>
                <xdr:row>0</xdr:row>
                <xdr:rowOff>838200</xdr:rowOff>
              </from>
              <to>
                <xdr:col>5</xdr:col>
                <xdr:colOff>2019300</xdr:colOff>
                <xdr:row>0</xdr:row>
                <xdr:rowOff>1143000</xdr:rowOff>
              </to>
            </anchor>
          </controlPr>
        </control>
      </mc:Choice>
      <mc:Fallback>
        <control shapeId="6155" r:id="rId14" name="TextBoxAndroidPORT"/>
      </mc:Fallback>
    </mc:AlternateContent>
    <mc:AlternateContent xmlns:mc="http://schemas.openxmlformats.org/markup-compatibility/2006">
      <mc:Choice Requires="x14">
        <control shapeId="6158" r:id="rId16" name="TextBoxSMS">
          <controlPr defaultSize="0" autoFill="0" autoLine="0" autoPict="0" r:id="rId17">
            <anchor moveWithCells="1">
              <from>
                <xdr:col>2</xdr:col>
                <xdr:colOff>47625</xdr:colOff>
                <xdr:row>0</xdr:row>
                <xdr:rowOff>409575</xdr:rowOff>
              </from>
              <to>
                <xdr:col>4</xdr:col>
                <xdr:colOff>1333500</xdr:colOff>
                <xdr:row>0</xdr:row>
                <xdr:rowOff>1428750</xdr:rowOff>
              </to>
            </anchor>
          </controlPr>
        </control>
      </mc:Choice>
      <mc:Fallback>
        <control shapeId="6158" r:id="rId16" name="TextBoxSMS"/>
      </mc:Fallback>
    </mc:AlternateContent>
    <mc:AlternateContent xmlns:mc="http://schemas.openxmlformats.org/markup-compatibility/2006">
      <mc:Choice Requires="x14">
        <control shapeId="6159" r:id="rId18" name="btnConnTest">
          <controlPr defaultSize="0" autoLine="0" autoPict="0" r:id="rId19">
            <anchor moveWithCells="1">
              <from>
                <xdr:col>5</xdr:col>
                <xdr:colOff>114300</xdr:colOff>
                <xdr:row>0</xdr:row>
                <xdr:rowOff>1238250</xdr:rowOff>
              </from>
              <to>
                <xdr:col>5</xdr:col>
                <xdr:colOff>2047875</xdr:colOff>
                <xdr:row>0</xdr:row>
                <xdr:rowOff>1581150</xdr:rowOff>
              </to>
            </anchor>
          </controlPr>
        </control>
      </mc:Choice>
      <mc:Fallback>
        <control shapeId="6159" r:id="rId18" name="btnConnTest"/>
      </mc:Fallback>
    </mc:AlternateContent>
    <mc:AlternateContent xmlns:mc="http://schemas.openxmlformats.org/markup-compatibility/2006">
      <mc:Choice Requires="x14">
        <control shapeId="6145" r:id="rId20" name="Button 1">
          <controlPr defaultSize="0" print="0" autoFill="0" autoPict="0" macro="[0]!Add_Template">
            <anchor moveWithCells="1" sizeWithCells="1">
              <from>
                <xdr:col>0</xdr:col>
                <xdr:colOff>409575</xdr:colOff>
                <xdr:row>4</xdr:row>
                <xdr:rowOff>85725</xdr:rowOff>
              </from>
              <to>
                <xdr:col>0</xdr:col>
                <xdr:colOff>2371725</xdr:colOff>
                <xdr:row>4</xdr:row>
                <xdr:rowOff>361950</xdr:rowOff>
              </to>
            </anchor>
          </controlPr>
        </control>
      </mc:Choice>
    </mc:AlternateContent>
  </controls>
  <tableParts count="4">
    <tablePart r:id="rId21"/>
    <tablePart r:id="rId22"/>
    <tablePart r:id="rId23"/>
    <tablePart r:id="rId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9D52E-BE67-4364-BE2E-4CDE5C955B12}">
  <sheetPr codeName="Sheet1"/>
  <dimension ref="A1:J17"/>
  <sheetViews>
    <sheetView workbookViewId="0">
      <selection activeCell="J9" sqref="J9:J17"/>
    </sheetView>
  </sheetViews>
  <sheetFormatPr defaultRowHeight="15" x14ac:dyDescent="0.25"/>
  <cols>
    <col min="1" max="1" width="10.7109375" bestFit="1" customWidth="1"/>
    <col min="2" max="2" width="27.28515625" bestFit="1" customWidth="1"/>
    <col min="3" max="3" width="8.7109375" bestFit="1" customWidth="1"/>
    <col min="4" max="4" width="8" bestFit="1" customWidth="1"/>
    <col min="5" max="5" width="10.140625" bestFit="1" customWidth="1"/>
    <col min="6" max="6" width="12" bestFit="1" customWidth="1"/>
    <col min="7" max="7" width="10.7109375" bestFit="1" customWidth="1"/>
    <col min="8" max="8" width="9.42578125" bestFit="1" customWidth="1"/>
    <col min="9" max="9" width="34.28515625" bestFit="1" customWidth="1"/>
    <col min="10" max="10" width="12" bestFit="1" customWidth="1"/>
  </cols>
  <sheetData>
    <row r="1" spans="1:10" x14ac:dyDescent="0.25">
      <c r="A1" s="1">
        <v>43319</v>
      </c>
      <c r="B1" t="s">
        <v>165</v>
      </c>
      <c r="C1" t="s">
        <v>121</v>
      </c>
    </row>
    <row r="9" spans="1:10" x14ac:dyDescent="0.25">
      <c r="B9" s="1">
        <v>43319</v>
      </c>
      <c r="C9" t="s">
        <v>141</v>
      </c>
      <c r="D9" s="29" t="s">
        <v>93</v>
      </c>
      <c r="E9" s="27" t="s">
        <v>18</v>
      </c>
      <c r="F9" s="27" t="s">
        <v>42</v>
      </c>
      <c r="G9" s="26">
        <v>19432.655763888888</v>
      </c>
      <c r="H9" s="27"/>
      <c r="I9" s="27" t="s">
        <v>66</v>
      </c>
      <c r="J9" s="28" t="s">
        <v>167</v>
      </c>
    </row>
    <row r="12" spans="1:10" x14ac:dyDescent="0.25">
      <c r="B12" s="1">
        <v>43319</v>
      </c>
      <c r="C12" t="s">
        <v>141</v>
      </c>
      <c r="D12" s="20" t="s">
        <v>96</v>
      </c>
      <c r="E12" s="21" t="s">
        <v>21</v>
      </c>
      <c r="F12" s="21" t="s">
        <v>58</v>
      </c>
      <c r="G12" s="22">
        <v>19432.655763888888</v>
      </c>
      <c r="H12" s="21"/>
      <c r="I12" s="21" t="s">
        <v>69</v>
      </c>
      <c r="J12" s="25" t="s">
        <v>164</v>
      </c>
    </row>
    <row r="17" spans="2:10" x14ac:dyDescent="0.25">
      <c r="B17" s="1">
        <v>43319</v>
      </c>
      <c r="C17" t="s">
        <v>141</v>
      </c>
      <c r="D17" s="29" t="s">
        <v>101</v>
      </c>
      <c r="E17" s="27" t="s">
        <v>26</v>
      </c>
      <c r="F17" s="27" t="s">
        <v>48</v>
      </c>
      <c r="G17" s="26">
        <v>19432.655763888888</v>
      </c>
      <c r="H17" s="27"/>
      <c r="I17" s="27" t="s">
        <v>74</v>
      </c>
      <c r="J17" s="28" t="s">
        <v>164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197B0-5CB1-4834-97FF-90B3F5BE0A01}">
  <sheetPr codeName="Sheet8"/>
  <dimension ref="A1:J12"/>
  <sheetViews>
    <sheetView workbookViewId="0"/>
  </sheetViews>
  <sheetFormatPr defaultRowHeight="15" x14ac:dyDescent="0.25"/>
  <cols>
    <col min="1" max="1" width="10.7109375" bestFit="1" customWidth="1"/>
    <col min="2" max="2" width="27.28515625" bestFit="1" customWidth="1"/>
    <col min="3" max="3" width="8.7109375" bestFit="1" customWidth="1"/>
    <col min="4" max="4" width="8" bestFit="1" customWidth="1"/>
    <col min="5" max="6" width="10.140625" bestFit="1" customWidth="1"/>
    <col min="7" max="7" width="10.7109375" bestFit="1" customWidth="1"/>
    <col min="9" max="9" width="34.28515625" bestFit="1" customWidth="1"/>
    <col min="10" max="10" width="12" bestFit="1" customWidth="1"/>
  </cols>
  <sheetData>
    <row r="1" spans="1:10" x14ac:dyDescent="0.25">
      <c r="A1" s="1">
        <v>43902</v>
      </c>
      <c r="B1" t="s">
        <v>165</v>
      </c>
      <c r="C1" t="s">
        <v>121</v>
      </c>
    </row>
    <row r="12" spans="1:10" x14ac:dyDescent="0.25">
      <c r="B12" s="1">
        <v>43902</v>
      </c>
      <c r="C12" t="s">
        <v>141</v>
      </c>
      <c r="D12" s="20" t="s">
        <v>96</v>
      </c>
      <c r="E12" s="21" t="s">
        <v>21</v>
      </c>
      <c r="F12" s="21" t="s">
        <v>58</v>
      </c>
      <c r="G12" s="22">
        <v>19432.655763888888</v>
      </c>
      <c r="H12" s="21" t="s">
        <v>202</v>
      </c>
      <c r="I12" s="21" t="s">
        <v>69</v>
      </c>
      <c r="J12" s="25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1A7E-8342-4E2E-9EED-5AF336283B20}">
  <sheetPr codeName="Sheet9"/>
  <dimension ref="A1:I12"/>
  <sheetViews>
    <sheetView workbookViewId="0"/>
  </sheetViews>
  <sheetFormatPr defaultRowHeight="15" x14ac:dyDescent="0.25"/>
  <cols>
    <col min="1" max="1" width="10.7109375" bestFit="1" customWidth="1"/>
    <col min="2" max="2" width="27.28515625" bestFit="1" customWidth="1"/>
    <col min="3" max="3" width="8.7109375" bestFit="1" customWidth="1"/>
    <col min="4" max="4" width="8" bestFit="1" customWidth="1"/>
    <col min="5" max="6" width="10.140625" bestFit="1" customWidth="1"/>
    <col min="7" max="7" width="10.7109375" bestFit="1" customWidth="1"/>
    <col min="9" max="9" width="34.28515625" bestFit="1" customWidth="1"/>
  </cols>
  <sheetData>
    <row r="1" spans="1:9" x14ac:dyDescent="0.25">
      <c r="A1" s="1">
        <v>43902</v>
      </c>
      <c r="B1" t="s">
        <v>165</v>
      </c>
      <c r="C1" t="s">
        <v>121</v>
      </c>
    </row>
    <row r="12" spans="1:9" x14ac:dyDescent="0.25">
      <c r="B12" s="1">
        <v>43902</v>
      </c>
      <c r="C12" t="s">
        <v>216</v>
      </c>
      <c r="D12" s="20" t="s">
        <v>96</v>
      </c>
      <c r="E12" s="21" t="s">
        <v>21</v>
      </c>
      <c r="F12" s="21" t="s">
        <v>58</v>
      </c>
      <c r="G12" s="22">
        <v>19432.655763888888</v>
      </c>
      <c r="H12" s="21" t="s">
        <v>202</v>
      </c>
      <c r="I12" s="21" t="s">
        <v>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8F1F9-86DF-482F-BC20-0D80EB04B531}">
  <sheetPr codeName="Sheet10"/>
  <dimension ref="A1:I12"/>
  <sheetViews>
    <sheetView workbookViewId="0"/>
  </sheetViews>
  <sheetFormatPr defaultRowHeight="15" x14ac:dyDescent="0.25"/>
  <cols>
    <col min="1" max="1" width="10.7109375" bestFit="1" customWidth="1"/>
    <col min="2" max="2" width="27.28515625" bestFit="1" customWidth="1"/>
    <col min="3" max="3" width="8.7109375" bestFit="1" customWidth="1"/>
    <col min="4" max="4" width="8" bestFit="1" customWidth="1"/>
    <col min="5" max="6" width="10.140625" bestFit="1" customWidth="1"/>
    <col min="7" max="7" width="10.7109375" bestFit="1" customWidth="1"/>
    <col min="9" max="9" width="34.28515625" bestFit="1" customWidth="1"/>
  </cols>
  <sheetData>
    <row r="1" spans="1:9" x14ac:dyDescent="0.25">
      <c r="A1" s="1">
        <v>43902</v>
      </c>
      <c r="B1" t="s">
        <v>165</v>
      </c>
      <c r="C1" t="s">
        <v>121</v>
      </c>
    </row>
    <row r="12" spans="1:9" x14ac:dyDescent="0.25">
      <c r="B12" s="1">
        <v>43902</v>
      </c>
      <c r="C12" t="s">
        <v>216</v>
      </c>
      <c r="D12" s="20" t="s">
        <v>96</v>
      </c>
      <c r="E12" s="21" t="s">
        <v>21</v>
      </c>
      <c r="F12" s="21" t="s">
        <v>58</v>
      </c>
      <c r="G12" s="22">
        <v>19432.655763888888</v>
      </c>
      <c r="H12" s="21" t="s">
        <v>202</v>
      </c>
      <c r="I12" s="21" t="s">
        <v>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64F07-28A4-4ECA-A7B3-872A764DD57B}">
  <sheetPr codeName="Sheet11"/>
  <dimension ref="A1:I12"/>
  <sheetViews>
    <sheetView workbookViewId="0"/>
  </sheetViews>
  <sheetFormatPr defaultRowHeight="15" x14ac:dyDescent="0.25"/>
  <cols>
    <col min="1" max="1" width="10.7109375" bestFit="1" customWidth="1"/>
    <col min="2" max="2" width="27.28515625" bestFit="1" customWidth="1"/>
    <col min="3" max="3" width="8.7109375" bestFit="1" customWidth="1"/>
    <col min="4" max="4" width="8" bestFit="1" customWidth="1"/>
    <col min="5" max="6" width="10.140625" bestFit="1" customWidth="1"/>
    <col min="7" max="7" width="10.7109375" bestFit="1" customWidth="1"/>
    <col min="9" max="9" width="34.28515625" bestFit="1" customWidth="1"/>
  </cols>
  <sheetData>
    <row r="1" spans="1:9" x14ac:dyDescent="0.25">
      <c r="A1" s="1">
        <v>43902</v>
      </c>
      <c r="B1" t="s">
        <v>165</v>
      </c>
      <c r="C1" t="s">
        <v>121</v>
      </c>
    </row>
    <row r="12" spans="1:9" x14ac:dyDescent="0.25">
      <c r="B12" s="1">
        <v>43902</v>
      </c>
      <c r="C12" t="s">
        <v>216</v>
      </c>
      <c r="D12" s="20" t="s">
        <v>96</v>
      </c>
      <c r="E12" s="21" t="s">
        <v>21</v>
      </c>
      <c r="F12" s="21" t="s">
        <v>58</v>
      </c>
      <c r="G12" s="22">
        <v>19432.655763888888</v>
      </c>
      <c r="H12" s="21" t="s">
        <v>202</v>
      </c>
      <c r="I12" s="21" t="s">
        <v>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7530C-A175-4E33-8D17-E9B20CE25EFA}">
  <sheetPr codeName="Sheet12"/>
  <dimension ref="A1:I12"/>
  <sheetViews>
    <sheetView workbookViewId="0"/>
  </sheetViews>
  <sheetFormatPr defaultRowHeight="15" x14ac:dyDescent="0.25"/>
  <cols>
    <col min="1" max="1" width="10.7109375" bestFit="1" customWidth="1"/>
    <col min="2" max="2" width="27.28515625" bestFit="1" customWidth="1"/>
    <col min="3" max="3" width="8.7109375" bestFit="1" customWidth="1"/>
    <col min="4" max="4" width="8" bestFit="1" customWidth="1"/>
    <col min="5" max="6" width="10.140625" bestFit="1" customWidth="1"/>
    <col min="7" max="7" width="10.7109375" bestFit="1" customWidth="1"/>
    <col min="9" max="9" width="34.28515625" bestFit="1" customWidth="1"/>
  </cols>
  <sheetData>
    <row r="1" spans="1:9" x14ac:dyDescent="0.25">
      <c r="A1" s="1">
        <v>43902</v>
      </c>
      <c r="B1" t="s">
        <v>165</v>
      </c>
      <c r="C1" t="s">
        <v>121</v>
      </c>
    </row>
    <row r="12" spans="1:9" x14ac:dyDescent="0.25">
      <c r="B12" s="1">
        <v>43902</v>
      </c>
      <c r="C12" t="s">
        <v>216</v>
      </c>
      <c r="D12" s="20" t="s">
        <v>96</v>
      </c>
      <c r="E12" s="21" t="s">
        <v>21</v>
      </c>
      <c r="F12" s="21" t="s">
        <v>58</v>
      </c>
      <c r="G12" s="22">
        <v>19432.655763888888</v>
      </c>
      <c r="H12" s="21" t="s">
        <v>202</v>
      </c>
      <c r="I12" s="21" t="s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4218F-5D02-49E0-9641-4D234DA77F23}">
  <sheetPr codeName="Sheet13"/>
  <dimension ref="A1:J12"/>
  <sheetViews>
    <sheetView workbookViewId="0"/>
  </sheetViews>
  <sheetFormatPr defaultRowHeight="15" x14ac:dyDescent="0.25"/>
  <cols>
    <col min="1" max="1" width="10.7109375" bestFit="1" customWidth="1"/>
    <col min="2" max="2" width="27.28515625" bestFit="1" customWidth="1"/>
    <col min="3" max="3" width="8.7109375" bestFit="1" customWidth="1"/>
    <col min="4" max="4" width="8" bestFit="1" customWidth="1"/>
    <col min="5" max="6" width="10.140625" bestFit="1" customWidth="1"/>
    <col min="7" max="7" width="10.7109375" bestFit="1" customWidth="1"/>
    <col min="9" max="9" width="34.28515625" bestFit="1" customWidth="1"/>
    <col min="10" max="10" width="12" bestFit="1" customWidth="1"/>
  </cols>
  <sheetData>
    <row r="1" spans="1:10" x14ac:dyDescent="0.25">
      <c r="A1" s="1">
        <v>43902</v>
      </c>
      <c r="B1" t="s">
        <v>165</v>
      </c>
      <c r="C1" t="s">
        <v>121</v>
      </c>
    </row>
    <row r="12" spans="1:10" x14ac:dyDescent="0.25">
      <c r="B12" s="1">
        <v>43902</v>
      </c>
      <c r="C12" t="s">
        <v>141</v>
      </c>
      <c r="D12" s="20" t="s">
        <v>96</v>
      </c>
      <c r="E12" s="21" t="s">
        <v>21</v>
      </c>
      <c r="F12" s="21" t="s">
        <v>58</v>
      </c>
      <c r="G12" s="22">
        <v>19432.655763888888</v>
      </c>
      <c r="H12" s="21" t="s">
        <v>202</v>
      </c>
      <c r="I12" s="21" t="s">
        <v>69</v>
      </c>
      <c r="J12" s="25" t="s">
        <v>217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students</vt:lpstr>
      <vt:lpstr>AutoSend_Settings</vt:lpstr>
      <vt:lpstr>ASrprt_07Aug18sheet5</vt:lpstr>
      <vt:lpstr>ASrprt_12Mar20sheet3</vt:lpstr>
      <vt:lpstr>ASrprt_12Mar20sheet4</vt:lpstr>
      <vt:lpstr>ASrprt_12Mar20sheet5</vt:lpstr>
      <vt:lpstr>ASrprt_12Mar20sheet6</vt:lpstr>
      <vt:lpstr>ASrprt_12Mar20sheet7</vt:lpstr>
      <vt:lpstr>ASrprt_12Mar20sheet8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2018-07-02T05:00:31Z</dcterms:created>
  <dcterms:modified xsi:type="dcterms:W3CDTF">2020-03-12T19:01:14Z</dcterms:modified>
</cp:coreProperties>
</file>